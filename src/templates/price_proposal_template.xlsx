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037120f2951e5c/שולחן העבודה/מיכה מלכה/"/>
    </mc:Choice>
  </mc:AlternateContent>
  <xr:revisionPtr revIDLastSave="9" documentId="8_{91818993-C76D-44F0-8CB4-AF8F3628BEBA}" xr6:coauthVersionLast="47" xr6:coauthVersionMax="47" xr10:uidLastSave="{6EF2C349-BD90-4475-A805-2C2889682921}"/>
  <bookViews>
    <workbookView xWindow="-120" yWindow="-120" windowWidth="29040" windowHeight="15720" xr2:uid="{8E938335-5360-4E7F-81E9-80F72DA24D9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30" i="1"/>
  <c r="F29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32" i="1" l="1"/>
</calcChain>
</file>

<file path=xl/sharedStrings.xml><?xml version="1.0" encoding="utf-8"?>
<sst xmlns="http://schemas.openxmlformats.org/spreadsheetml/2006/main" count="74" uniqueCount="52">
  <si>
    <t>בס"ד</t>
  </si>
  <si>
    <t>מס"ד</t>
  </si>
  <si>
    <t>תיאור</t>
  </si>
  <si>
    <t>כמות</t>
  </si>
  <si>
    <t>יח'</t>
  </si>
  <si>
    <t>סה"כ ליח'</t>
  </si>
  <si>
    <t>סה"כ</t>
  </si>
  <si>
    <t>מ'</t>
  </si>
  <si>
    <t>קומפ'</t>
  </si>
  <si>
    <t>ניקוזי מזגנים.</t>
  </si>
  <si>
    <t>תא בקרה חופית (או שווה ערך) קוטר 80.</t>
  </si>
  <si>
    <t>סה"כ:</t>
  </si>
  <si>
    <t>ההצעה אינה כוללת:</t>
  </si>
  <si>
    <t>1. מע"מ</t>
  </si>
  <si>
    <t xml:space="preserve"> </t>
  </si>
  <si>
    <t>בברכה,</t>
  </si>
  <si>
    <t xml:space="preserve">דניאל עבודות צנרת </t>
  </si>
  <si>
    <t>מיכאל- 0505654242</t>
  </si>
  <si>
    <t>הצעת מחיר - שערי תקווה</t>
  </si>
  <si>
    <t>לידי ישראל גרינברג יזם</t>
  </si>
  <si>
    <t>נקודות מים לצריכה מולטיגול + מקלחת בריכה.</t>
  </si>
  <si>
    <t>אסלות תלויות מיכל סמוי.</t>
  </si>
  <si>
    <t>תא בקרה חופית (או שווה ערך) קוטר 60.</t>
  </si>
  <si>
    <t>מפל PVC קוטר 160.</t>
  </si>
  <si>
    <t>צינור ביוב עבה קוטר 160.</t>
  </si>
  <si>
    <t>חיבור לקו ביוב, צינור, בתחום המגרש.</t>
  </si>
  <si>
    <t>צנרת קולטנים שופכין אולטרה בטון קוטר 110.</t>
  </si>
  <si>
    <t>צנרת מי גשם אולטרה בטון קוטר 110 בשפיכה חופשית.</t>
  </si>
  <si>
    <t>קווי הספקת מים לקומות ועד לגג וחזרה לחדרים רטובים קוטר 25 פקס.</t>
  </si>
  <si>
    <t>קו הספקת מים לקומת קרקע קוטר 25.</t>
  </si>
  <si>
    <t>צינור מילוי בריכה קוטר 25 פקס + כיבוי אש.</t>
  </si>
  <si>
    <t>קו סניקה קוטר 50 מחדר מכונות בריכה + גמל וחיבור לתא ביוב מספר 2.</t>
  </si>
  <si>
    <t>חיבור למונה מים ראשי + אלחוזר 1 צו"ל + הכנה.</t>
  </si>
  <si>
    <t>הספקה והתקנת גלגלון + אלחוזר 1 צו"ל.</t>
  </si>
  <si>
    <t>מז"ח 1 צו"ל למילוי בריכה.</t>
  </si>
  <si>
    <t>מחלק מים חם/קר בכל קומה ובחצר.</t>
  </si>
  <si>
    <t>ברזי גן 3/4 + זקף וברז.</t>
  </si>
  <si>
    <t>צנרת לאוורור חדר מכונות קוטר 110.</t>
  </si>
  <si>
    <t>2. כלים לבנים.</t>
  </si>
  <si>
    <t>3. בדיקות מעבדה.</t>
  </si>
  <si>
    <t>4. בורות חלחול.</t>
  </si>
  <si>
    <t>5. טרקטור לביצוע ביוב חוץ.</t>
  </si>
  <si>
    <t>6. עטיפות בטון לצנרת.</t>
  </si>
  <si>
    <t>7. חומרי מליטה.</t>
  </si>
  <si>
    <t>8. אביזרי קצה לחיבור כלים לבנים.</t>
  </si>
  <si>
    <t>9. משאבות מכל סוג.</t>
  </si>
  <si>
    <t>10. חול לריפוד צנרת ביוב.</t>
  </si>
  <si>
    <t>הערות נוספות:</t>
  </si>
  <si>
    <r>
      <t xml:space="preserve">1. חיבור ביוב ומים יתבצע </t>
    </r>
    <r>
      <rPr>
        <b/>
        <u/>
        <sz val="11"/>
        <color theme="1"/>
        <rFont val="David"/>
        <family val="2"/>
      </rPr>
      <t>רק</t>
    </r>
    <r>
      <rPr>
        <sz val="11"/>
        <color theme="1"/>
        <rFont val="David"/>
        <family val="2"/>
      </rPr>
      <t xml:space="preserve"> בתחום המגרש.</t>
    </r>
  </si>
  <si>
    <t>3. ההצעה תקפה ל60 ימים.</t>
  </si>
  <si>
    <r>
      <t xml:space="preserve">4. מחיר עבודה ביומיות: </t>
    </r>
    <r>
      <rPr>
        <b/>
        <u/>
        <sz val="11"/>
        <color theme="1"/>
        <rFont val="David"/>
        <family val="2"/>
      </rPr>
      <t>3000 ₪ לא כולל מע"מ.</t>
    </r>
  </si>
  <si>
    <r>
      <t xml:space="preserve">2. ההצעה מתייחסת ליחידת דיור </t>
    </r>
    <r>
      <rPr>
        <b/>
        <u/>
        <sz val="11"/>
        <color theme="1"/>
        <rFont val="David"/>
        <family val="2"/>
      </rPr>
      <t>אחת</t>
    </r>
    <r>
      <rPr>
        <sz val="11"/>
        <color theme="1"/>
        <rFont val="David"/>
        <family val="2"/>
      </rPr>
      <t xml:space="preserve"> בלבד.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</si>
</sst>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"/>
  </numFmts>
  <fonts count="6" x14ac:knownFonts="1">
    <font>
      <sz val="11"/>
      <color theme="1"/>
      <name val="Aptos Narrow"/>
      <family val="2"/>
      <charset val="177"/>
      <scheme val="minor"/>
    </font>
    <font>
      <sz val="11"/>
      <color theme="1"/>
      <name val="David"/>
      <family val="2"/>
    </font>
    <font>
      <b/>
      <u/>
      <sz val="11"/>
      <color theme="1"/>
      <name val="David"/>
      <family val="2"/>
    </font>
    <font>
      <b/>
      <sz val="11"/>
      <color theme="1"/>
      <name val="David"/>
      <family val="2"/>
    </font>
    <font>
      <sz val="11"/>
      <name val="David"/>
      <family val="2"/>
    </font>
    <font>
      <b/>
      <u/>
      <sz val="12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 readingOrder="2"/>
    </xf>
    <xf numFmtId="164" fontId="3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 wrapText="1" readingOrder="2"/>
    </xf>
    <xf numFmtId="164" fontId="1" fillId="0" borderId="0" xfId="0" applyNumberFormat="1" applyFont="1" applyAlignment="1">
      <alignment horizontal="center" vertical="center" readingOrder="2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/>
    <xf numFmtId="164" fontId="5" fillId="0" borderId="0" xfId="0" applyNumberFormat="1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1872282</xdr:colOff>
      <xdr:row>1</xdr:row>
      <xdr:rowOff>49694</xdr:rowOff>
    </xdr:from>
    <xdr:to>
      <xdr:col>3</xdr:col>
      <xdr:colOff>66675</xdr:colOff>
      <xdr:row>6</xdr:row>
      <xdr:rowOff>47625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4E45986-5A00-4EC6-A050-B53F4253A2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918"/>
        <a:stretch/>
      </xdr:blipFill>
      <xdr:spPr bwMode="auto">
        <a:xfrm>
          <a:off x="9830828700" y="240194"/>
          <a:ext cx="1461468" cy="9504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307-7AE6-446B-915D-34FB4DEEF152}">
  <dimension ref="A1:H72"/>
  <sheetViews>
    <sheetView rightToLeft="1" tabSelected="1" zoomScale="115" zoomScaleNormal="115" workbookViewId="0">
      <selection activeCell="B54" sqref="B54"/>
    </sheetView>
  </sheetViews>
  <sheetFormatPr defaultColWidth="7.875" defaultRowHeight="15" x14ac:dyDescent="0.25"/>
  <cols>
    <col min="1" max="1" width="6" style="1" bestFit="1" customWidth="1"/>
    <col min="2" max="2" width="36.5" style="1" customWidth="1"/>
    <col min="3" max="3" width="6.375" style="1" customWidth="1"/>
    <col min="4" max="4" width="7" style="1" customWidth="1"/>
    <col min="5" max="5" width="10.25" style="1" bestFit="1" customWidth="1"/>
    <col min="6" max="6" width="14.125" style="1" customWidth="1"/>
    <col min="7" max="7" width="10.75" style="1" bestFit="1" customWidth="1"/>
    <col min="8" max="8" width="11.25" style="1" bestFit="1" customWidth="1"/>
    <col min="9" max="16384" width="7.875" style="1"/>
  </cols>
  <sheetData>
    <row r="1" spans="1:8" x14ac:dyDescent="0.25">
      <c r="A1" s="1" t="s">
        <v>0</v>
      </c>
      <c r="F1" s="2">
        <v>46063</v>
      </c>
      <c r="G1" s="3"/>
      <c r="H1" s="3"/>
    </row>
    <row r="2" spans="1:8" x14ac:dyDescent="0.25">
      <c r="F2" s="3"/>
      <c r="G2" s="3"/>
      <c r="H2" s="3"/>
    </row>
    <row r="3" spans="1:8" x14ac:dyDescent="0.25">
      <c r="F3" s="3"/>
      <c r="G3" s="3"/>
      <c r="H3" s="3"/>
    </row>
    <row r="4" spans="1:8" x14ac:dyDescent="0.25">
      <c r="F4" s="3"/>
      <c r="G4" s="3"/>
      <c r="H4" s="3"/>
    </row>
    <row r="5" spans="1:8" x14ac:dyDescent="0.25">
      <c r="F5" s="3"/>
      <c r="G5" s="3"/>
      <c r="H5" s="3"/>
    </row>
    <row r="6" spans="1:8" x14ac:dyDescent="0.25">
      <c r="F6" s="3"/>
      <c r="G6" s="3"/>
      <c r="H6" s="3"/>
    </row>
    <row r="7" spans="1:8" x14ac:dyDescent="0.25">
      <c r="A7" s="38" t="s">
        <v>18</v>
      </c>
      <c r="B7" s="38"/>
      <c r="C7" s="38"/>
      <c r="D7" s="38"/>
      <c r="E7" s="38"/>
      <c r="F7" s="38"/>
    </row>
    <row r="8" spans="1:8" x14ac:dyDescent="0.25">
      <c r="A8" s="38" t="s">
        <v>19</v>
      </c>
      <c r="B8" s="38"/>
      <c r="C8" s="38"/>
      <c r="D8" s="38"/>
      <c r="E8" s="38"/>
      <c r="F8" s="38"/>
    </row>
    <row r="9" spans="1:8" ht="15.75" thickBot="1" x14ac:dyDescent="0.3">
      <c r="C9" s="4"/>
      <c r="D9" s="4"/>
    </row>
    <row r="10" spans="1:8" ht="15.75" thickBot="1" x14ac:dyDescent="0.3">
      <c r="A10" s="5" t="s">
        <v>1</v>
      </c>
      <c r="B10" s="6" t="s">
        <v>2</v>
      </c>
      <c r="C10" s="6" t="s">
        <v>3</v>
      </c>
      <c r="D10" s="6" t="s">
        <v>4</v>
      </c>
      <c r="E10" s="6" t="s">
        <v>5</v>
      </c>
      <c r="F10" s="7" t="s">
        <v>6</v>
      </c>
    </row>
    <row r="11" spans="1:8" x14ac:dyDescent="0.25">
      <c r="A11" s="8">
        <v>1</v>
      </c>
      <c r="B11" s="9" t="s">
        <v>20</v>
      </c>
      <c r="C11" s="10">
        <v>20</v>
      </c>
      <c r="D11" s="11" t="s">
        <v>4</v>
      </c>
      <c r="E11" s="12">
        <v>2100</v>
      </c>
      <c r="F11" s="13">
        <f t="shared" ref="F11:F30" si="0">E11*C11</f>
        <v>42000</v>
      </c>
    </row>
    <row r="12" spans="1:8" x14ac:dyDescent="0.25">
      <c r="A12" s="14">
        <v>2</v>
      </c>
      <c r="B12" s="15" t="s">
        <v>21</v>
      </c>
      <c r="C12" s="16">
        <v>4</v>
      </c>
      <c r="D12" s="17" t="s">
        <v>4</v>
      </c>
      <c r="E12" s="18">
        <v>700</v>
      </c>
      <c r="F12" s="19">
        <f t="shared" si="0"/>
        <v>2800</v>
      </c>
    </row>
    <row r="13" spans="1:8" x14ac:dyDescent="0.25">
      <c r="A13" s="14">
        <v>3</v>
      </c>
      <c r="B13" s="15" t="s">
        <v>9</v>
      </c>
      <c r="C13" s="16">
        <v>7</v>
      </c>
      <c r="D13" s="17" t="s">
        <v>4</v>
      </c>
      <c r="E13" s="18">
        <v>800</v>
      </c>
      <c r="F13" s="19">
        <f t="shared" si="0"/>
        <v>5600</v>
      </c>
    </row>
    <row r="14" spans="1:8" x14ac:dyDescent="0.25">
      <c r="A14" s="14">
        <v>4</v>
      </c>
      <c r="B14" s="15" t="s">
        <v>22</v>
      </c>
      <c r="C14" s="16">
        <v>3</v>
      </c>
      <c r="D14" s="17" t="s">
        <v>4</v>
      </c>
      <c r="E14" s="18">
        <v>2800</v>
      </c>
      <c r="F14" s="19">
        <f t="shared" si="0"/>
        <v>8400</v>
      </c>
    </row>
    <row r="15" spans="1:8" x14ac:dyDescent="0.25">
      <c r="A15" s="14">
        <v>5</v>
      </c>
      <c r="B15" s="15" t="s">
        <v>10</v>
      </c>
      <c r="C15" s="16">
        <v>1</v>
      </c>
      <c r="D15" s="17" t="s">
        <v>4</v>
      </c>
      <c r="E15" s="18">
        <v>3850</v>
      </c>
      <c r="F15" s="19">
        <f t="shared" si="0"/>
        <v>3850</v>
      </c>
    </row>
    <row r="16" spans="1:8" x14ac:dyDescent="0.25">
      <c r="A16" s="14">
        <v>6</v>
      </c>
      <c r="B16" s="15" t="s">
        <v>23</v>
      </c>
      <c r="C16" s="16">
        <v>1</v>
      </c>
      <c r="D16" s="17" t="s">
        <v>4</v>
      </c>
      <c r="E16" s="18">
        <v>1100</v>
      </c>
      <c r="F16" s="19">
        <f t="shared" si="0"/>
        <v>1100</v>
      </c>
    </row>
    <row r="17" spans="1:6" x14ac:dyDescent="0.25">
      <c r="A17" s="14">
        <v>7</v>
      </c>
      <c r="B17" s="15" t="s">
        <v>24</v>
      </c>
      <c r="C17" s="16">
        <v>10</v>
      </c>
      <c r="D17" s="17" t="s">
        <v>7</v>
      </c>
      <c r="E17" s="18">
        <v>235</v>
      </c>
      <c r="F17" s="19">
        <f t="shared" si="0"/>
        <v>2350</v>
      </c>
    </row>
    <row r="18" spans="1:6" x14ac:dyDescent="0.25">
      <c r="A18" s="14">
        <v>8</v>
      </c>
      <c r="B18" s="15" t="s">
        <v>25</v>
      </c>
      <c r="C18" s="16">
        <v>2</v>
      </c>
      <c r="D18" s="17" t="s">
        <v>8</v>
      </c>
      <c r="E18" s="18">
        <v>1000</v>
      </c>
      <c r="F18" s="19">
        <f t="shared" si="0"/>
        <v>2000</v>
      </c>
    </row>
    <row r="19" spans="1:6" x14ac:dyDescent="0.25">
      <c r="A19" s="14">
        <v>9</v>
      </c>
      <c r="B19" s="15" t="s">
        <v>26</v>
      </c>
      <c r="C19" s="16">
        <v>45</v>
      </c>
      <c r="D19" s="17" t="s">
        <v>7</v>
      </c>
      <c r="E19" s="18">
        <v>195</v>
      </c>
      <c r="F19" s="19">
        <f>E19*C19</f>
        <v>8775</v>
      </c>
    </row>
    <row r="20" spans="1:6" ht="30" x14ac:dyDescent="0.25">
      <c r="A20" s="14">
        <v>10</v>
      </c>
      <c r="B20" s="15" t="s">
        <v>27</v>
      </c>
      <c r="C20" s="16">
        <v>25</v>
      </c>
      <c r="D20" s="17" t="s">
        <v>7</v>
      </c>
      <c r="E20" s="18">
        <v>195</v>
      </c>
      <c r="F20" s="19">
        <f t="shared" si="0"/>
        <v>4875</v>
      </c>
    </row>
    <row r="21" spans="1:6" ht="30" x14ac:dyDescent="0.25">
      <c r="A21" s="14">
        <v>11</v>
      </c>
      <c r="B21" s="15" t="s">
        <v>28</v>
      </c>
      <c r="C21" s="16">
        <v>1</v>
      </c>
      <c r="D21" s="17" t="s">
        <v>8</v>
      </c>
      <c r="E21" s="18">
        <v>3800</v>
      </c>
      <c r="F21" s="19">
        <f t="shared" si="0"/>
        <v>3800</v>
      </c>
    </row>
    <row r="22" spans="1:6" x14ac:dyDescent="0.25">
      <c r="A22" s="14">
        <v>12</v>
      </c>
      <c r="B22" s="15" t="s">
        <v>29</v>
      </c>
      <c r="C22" s="16">
        <v>15</v>
      </c>
      <c r="D22" s="17" t="s">
        <v>7</v>
      </c>
      <c r="E22" s="18">
        <v>170</v>
      </c>
      <c r="F22" s="19">
        <f t="shared" si="0"/>
        <v>2550</v>
      </c>
    </row>
    <row r="23" spans="1:6" x14ac:dyDescent="0.25">
      <c r="A23" s="14">
        <v>13</v>
      </c>
      <c r="B23" s="15" t="s">
        <v>30</v>
      </c>
      <c r="C23" s="16">
        <v>25</v>
      </c>
      <c r="D23" s="17" t="s">
        <v>7</v>
      </c>
      <c r="E23" s="18">
        <v>170</v>
      </c>
      <c r="F23" s="19">
        <f t="shared" si="0"/>
        <v>4250</v>
      </c>
    </row>
    <row r="24" spans="1:6" ht="30" x14ac:dyDescent="0.25">
      <c r="A24" s="14">
        <v>14</v>
      </c>
      <c r="B24" s="15" t="s">
        <v>31</v>
      </c>
      <c r="C24" s="16">
        <v>15</v>
      </c>
      <c r="D24" s="17" t="s">
        <v>7</v>
      </c>
      <c r="E24" s="18">
        <v>180</v>
      </c>
      <c r="F24" s="19">
        <f t="shared" si="0"/>
        <v>2700</v>
      </c>
    </row>
    <row r="25" spans="1:6" x14ac:dyDescent="0.25">
      <c r="A25" s="14">
        <v>15</v>
      </c>
      <c r="B25" s="15" t="s">
        <v>32</v>
      </c>
      <c r="C25" s="16">
        <v>2</v>
      </c>
      <c r="D25" s="17" t="s">
        <v>4</v>
      </c>
      <c r="E25" s="18">
        <v>1600</v>
      </c>
      <c r="F25" s="19">
        <f t="shared" si="0"/>
        <v>3200</v>
      </c>
    </row>
    <row r="26" spans="1:6" x14ac:dyDescent="0.25">
      <c r="A26" s="14">
        <v>16</v>
      </c>
      <c r="B26" s="15" t="s">
        <v>33</v>
      </c>
      <c r="C26" s="16">
        <v>1</v>
      </c>
      <c r="D26" s="17" t="s">
        <v>4</v>
      </c>
      <c r="E26" s="18">
        <v>2950</v>
      </c>
      <c r="F26" s="19">
        <f t="shared" si="0"/>
        <v>2950</v>
      </c>
    </row>
    <row r="27" spans="1:6" x14ac:dyDescent="0.25">
      <c r="A27" s="14">
        <v>17</v>
      </c>
      <c r="B27" s="15" t="s">
        <v>34</v>
      </c>
      <c r="C27" s="16">
        <v>1</v>
      </c>
      <c r="D27" s="17" t="s">
        <v>4</v>
      </c>
      <c r="E27" s="18">
        <v>3100</v>
      </c>
      <c r="F27" s="19">
        <f t="shared" si="0"/>
        <v>3100</v>
      </c>
    </row>
    <row r="28" spans="1:6" x14ac:dyDescent="0.25">
      <c r="A28" s="14">
        <v>18</v>
      </c>
      <c r="B28" s="15" t="s">
        <v>35</v>
      </c>
      <c r="C28" s="16">
        <v>4</v>
      </c>
      <c r="D28" s="17" t="s">
        <v>4</v>
      </c>
      <c r="E28" s="18">
        <v>2100</v>
      </c>
      <c r="F28" s="19">
        <f>E28*C28</f>
        <v>8400</v>
      </c>
    </row>
    <row r="29" spans="1:6" x14ac:dyDescent="0.25">
      <c r="A29" s="14">
        <v>19</v>
      </c>
      <c r="B29" s="15" t="s">
        <v>36</v>
      </c>
      <c r="C29" s="16">
        <v>2</v>
      </c>
      <c r="D29" s="17" t="s">
        <v>4</v>
      </c>
      <c r="E29" s="18">
        <v>650</v>
      </c>
      <c r="F29" s="19">
        <f t="shared" si="0"/>
        <v>1300</v>
      </c>
    </row>
    <row r="30" spans="1:6" x14ac:dyDescent="0.25">
      <c r="A30" s="14">
        <v>20</v>
      </c>
      <c r="B30" s="15" t="s">
        <v>37</v>
      </c>
      <c r="C30" s="16">
        <v>10</v>
      </c>
      <c r="D30" s="17" t="s">
        <v>7</v>
      </c>
      <c r="E30" s="18">
        <v>195</v>
      </c>
      <c r="F30" s="19">
        <f t="shared" si="0"/>
        <v>1950</v>
      </c>
    </row>
    <row r="31" spans="1:6" x14ac:dyDescent="0.25">
      <c r="A31" s="20"/>
      <c r="B31" s="21"/>
      <c r="C31" s="20"/>
      <c r="D31" s="22"/>
      <c r="E31" s="23"/>
      <c r="F31" s="24"/>
    </row>
    <row r="32" spans="1:6" ht="15.75" x14ac:dyDescent="0.25">
      <c r="A32" s="20"/>
      <c r="B32" s="25"/>
      <c r="C32" s="26"/>
      <c r="D32" s="27"/>
      <c r="E32" s="35" t="s">
        <v>11</v>
      </c>
      <c r="F32" s="36">
        <f>SUM(F11:F30)</f>
        <v>115950</v>
      </c>
    </row>
    <row r="33" spans="1:6" x14ac:dyDescent="0.25">
      <c r="A33" s="20"/>
      <c r="B33" s="25"/>
      <c r="C33" s="26"/>
      <c r="D33" s="27"/>
      <c r="E33" s="30"/>
      <c r="F33" s="28"/>
    </row>
    <row r="34" spans="1:6" x14ac:dyDescent="0.25">
      <c r="A34" s="20"/>
      <c r="B34" s="29" t="s">
        <v>12</v>
      </c>
      <c r="C34" s="26"/>
      <c r="D34" s="27"/>
      <c r="E34" s="30"/>
      <c r="F34" s="28"/>
    </row>
    <row r="35" spans="1:6" x14ac:dyDescent="0.25">
      <c r="A35" s="20"/>
      <c r="B35" s="31" t="s">
        <v>13</v>
      </c>
      <c r="C35" s="26" t="s">
        <v>14</v>
      </c>
      <c r="D35" s="27" t="s">
        <v>14</v>
      </c>
    </row>
    <row r="36" spans="1:6" x14ac:dyDescent="0.25">
      <c r="A36" s="20"/>
      <c r="B36" s="31" t="s">
        <v>38</v>
      </c>
      <c r="C36" s="26"/>
      <c r="D36" s="27"/>
      <c r="E36" s="32"/>
      <c r="F36" s="33"/>
    </row>
    <row r="37" spans="1:6" x14ac:dyDescent="0.25">
      <c r="A37" s="20"/>
      <c r="B37" s="31" t="s">
        <v>39</v>
      </c>
      <c r="C37" s="26"/>
      <c r="D37" s="27"/>
      <c r="E37" s="32"/>
      <c r="F37" s="33"/>
    </row>
    <row r="38" spans="1:6" x14ac:dyDescent="0.25">
      <c r="A38" s="20"/>
      <c r="B38" s="31" t="s">
        <v>40</v>
      </c>
      <c r="C38" s="26"/>
      <c r="D38" s="27"/>
      <c r="E38" s="32"/>
      <c r="F38" s="33"/>
    </row>
    <row r="39" spans="1:6" x14ac:dyDescent="0.25">
      <c r="A39" s="20"/>
      <c r="B39" s="31" t="s">
        <v>41</v>
      </c>
      <c r="C39" s="26"/>
      <c r="D39" s="27"/>
      <c r="E39" s="32"/>
      <c r="F39" s="33"/>
    </row>
    <row r="40" spans="1:6" x14ac:dyDescent="0.25">
      <c r="A40" s="20"/>
      <c r="B40" s="31" t="s">
        <v>42</v>
      </c>
      <c r="C40" s="26"/>
      <c r="D40" s="27"/>
      <c r="E40" s="32"/>
      <c r="F40" s="33"/>
    </row>
    <row r="41" spans="1:6" x14ac:dyDescent="0.25">
      <c r="A41" s="20"/>
      <c r="B41" s="31" t="s">
        <v>43</v>
      </c>
      <c r="C41" s="26"/>
      <c r="D41" s="27"/>
      <c r="E41" s="32"/>
      <c r="F41" s="33"/>
    </row>
    <row r="42" spans="1:6" x14ac:dyDescent="0.25">
      <c r="A42" s="20"/>
      <c r="B42" s="31" t="s">
        <v>44</v>
      </c>
      <c r="C42" s="26"/>
      <c r="D42" s="27"/>
      <c r="E42" s="32"/>
      <c r="F42" s="33"/>
    </row>
    <row r="43" spans="1:6" x14ac:dyDescent="0.25">
      <c r="A43" s="20"/>
      <c r="B43" s="31" t="s">
        <v>45</v>
      </c>
      <c r="C43" s="26"/>
      <c r="D43" s="27"/>
      <c r="E43" s="32"/>
      <c r="F43" s="33"/>
    </row>
    <row r="44" spans="1:6" x14ac:dyDescent="0.25">
      <c r="A44" s="20"/>
      <c r="B44" s="31" t="s">
        <v>46</v>
      </c>
      <c r="C44" s="26"/>
      <c r="D44" s="27"/>
      <c r="E44" s="32"/>
      <c r="F44" s="33"/>
    </row>
    <row r="45" spans="1:6" x14ac:dyDescent="0.25">
      <c r="A45" s="20"/>
      <c r="B45" s="31"/>
      <c r="C45" s="26"/>
      <c r="D45" s="27"/>
      <c r="E45" s="32"/>
      <c r="F45" s="33"/>
    </row>
    <row r="46" spans="1:6" x14ac:dyDescent="0.25">
      <c r="A46" s="20"/>
      <c r="B46" s="29" t="s">
        <v>47</v>
      </c>
      <c r="C46" s="26"/>
      <c r="D46" s="27"/>
      <c r="E46" s="32"/>
      <c r="F46" s="33"/>
    </row>
    <row r="47" spans="1:6" x14ac:dyDescent="0.25">
      <c r="A47" s="20"/>
      <c r="B47" s="31" t="s">
        <v>48</v>
      </c>
      <c r="C47" s="26"/>
      <c r="D47" s="27"/>
      <c r="E47" s="32"/>
      <c r="F47" s="33"/>
    </row>
    <row r="48" spans="1:6" x14ac:dyDescent="0.25">
      <c r="A48" s="20"/>
      <c r="B48" s="37" t="s">
        <v>51</v>
      </c>
      <c r="C48" s="26"/>
      <c r="D48" s="27"/>
      <c r="E48" s="32"/>
      <c r="F48" s="33"/>
    </row>
    <row r="49" spans="1:7" x14ac:dyDescent="0.25">
      <c r="A49" s="20"/>
      <c r="B49" s="37" t="s">
        <v>49</v>
      </c>
      <c r="C49" s="26"/>
      <c r="D49" s="27"/>
      <c r="E49" s="32"/>
      <c r="F49" s="33"/>
    </row>
    <row r="50" spans="1:7" x14ac:dyDescent="0.25">
      <c r="A50" s="20"/>
      <c r="B50" s="37" t="s">
        <v>50</v>
      </c>
      <c r="C50" s="26"/>
      <c r="D50" s="27"/>
      <c r="E50" s="32"/>
      <c r="F50" s="33"/>
    </row>
    <row r="51" spans="1:7" x14ac:dyDescent="0.25">
      <c r="A51" s="20"/>
      <c r="B51" s="37"/>
      <c r="C51" s="26"/>
      <c r="D51" s="27"/>
      <c r="E51" s="32"/>
      <c r="F51" s="33"/>
    </row>
    <row r="52" spans="1:7" x14ac:dyDescent="0.25">
      <c r="D52" s="34" t="s">
        <v>15</v>
      </c>
      <c r="E52" s="34"/>
      <c r="F52" s="34"/>
    </row>
    <row r="53" spans="1:7" x14ac:dyDescent="0.25">
      <c r="D53" s="34" t="s">
        <v>16</v>
      </c>
      <c r="E53" s="34"/>
      <c r="F53" s="34"/>
    </row>
    <row r="54" spans="1:7" x14ac:dyDescent="0.25">
      <c r="D54" s="34" t="s">
        <v>17</v>
      </c>
      <c r="E54" s="34"/>
      <c r="F54" s="34"/>
    </row>
    <row r="58" spans="1:7" x14ac:dyDescent="0.25">
      <c r="G58" s="1" t="s">
        <v>14</v>
      </c>
    </row>
    <row r="70" spans="7:8" x14ac:dyDescent="0.25">
      <c r="G70" s="34"/>
    </row>
    <row r="71" spans="7:8" x14ac:dyDescent="0.25">
      <c r="G71" s="34"/>
    </row>
    <row r="72" spans="7:8" x14ac:dyDescent="0.25">
      <c r="G72" s="34" t="s">
        <v>14</v>
      </c>
      <c r="H72" s="34" t="s">
        <v>14</v>
      </c>
    </row>
  </sheetData>
  <mergeCells count="2">
    <mergeCell ref="A7:F7"/>
    <mergeCell ref="A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malka</dc:creator>
  <cp:lastModifiedBy>iris malka</cp:lastModifiedBy>
  <dcterms:created xsi:type="dcterms:W3CDTF">2026-02-10T17:45:16Z</dcterms:created>
  <dcterms:modified xsi:type="dcterms:W3CDTF">2026-02-10T18:08:15Z</dcterms:modified>
</cp:coreProperties>
</file>