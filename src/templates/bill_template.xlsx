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037120f2951e5c/שולחן העבודה/מיכה מלכה/"/>
    </mc:Choice>
  </mc:AlternateContent>
  <xr:revisionPtr revIDLastSave="20" documentId="8_{8128495C-E5F8-489A-BD7E-CA53AE744E03}" xr6:coauthVersionLast="47" xr6:coauthVersionMax="47" xr10:uidLastSave="{657DFF6F-EAB1-44AF-A033-A6F38210DBE9}"/>
  <bookViews>
    <workbookView xWindow="-120" yWindow="-120" windowWidth="29040" windowHeight="15720" xr2:uid="{6876797F-1801-45EF-BE59-25E5377C66B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27" i="1" l="1"/>
  <c r="F29" i="1" s="1"/>
</calcChain>
</file>

<file path=xl/sharedStrings.xml><?xml version="1.0" encoding="utf-8"?>
<sst xmlns="http://schemas.openxmlformats.org/spreadsheetml/2006/main" count="47" uniqueCount="32">
  <si>
    <t>בס"ד</t>
  </si>
  <si>
    <t>מס"ד</t>
  </si>
  <si>
    <t>תיאור</t>
  </si>
  <si>
    <t>כמות</t>
  </si>
  <si>
    <t>יח'</t>
  </si>
  <si>
    <t>סה"כ ליח'</t>
  </si>
  <si>
    <t>סה"כ</t>
  </si>
  <si>
    <t>מ'</t>
  </si>
  <si>
    <t>קומפ'</t>
  </si>
  <si>
    <t>סה"כ:</t>
  </si>
  <si>
    <t xml:space="preserve"> </t>
  </si>
  <si>
    <t>בברכה,</t>
  </si>
  <si>
    <t xml:space="preserve">דניאל עבודות צנרת </t>
  </si>
  <si>
    <t>מיכאל- 0505654242</t>
  </si>
  <si>
    <t>צינור PVC קוטר 110 לונטה + חדר מכונות.</t>
  </si>
  <si>
    <t>צינור מרידור הדבקה קוטר 75.</t>
  </si>
  <si>
    <t>צינור מרידור הדבקה קוטר 50.</t>
  </si>
  <si>
    <t>צינור מים פוליאתילן קוטר 50 דרג 16 (מעבר לחוזה).</t>
  </si>
  <si>
    <t>אלחוזר הדבקה מרידור קוטר 50.</t>
  </si>
  <si>
    <t>אלחוזר הדבקה מרידור קוטר 75.</t>
  </si>
  <si>
    <t>הכנה למונה מים וחיבור לקו קיים אצל השכן.</t>
  </si>
  <si>
    <t>התקנת תא שאיבה לאחר פירוק.</t>
  </si>
  <si>
    <t>התקנת מז"ח קוטר 2 וחיבור לצנרת הגינון.</t>
  </si>
  <si>
    <t>עמדת מנגל.</t>
  </si>
  <si>
    <t>נקודות מים לשטיבל.</t>
  </si>
  <si>
    <t>מרכזיית מים חמים קרים.</t>
  </si>
  <si>
    <t>התקנת ברזי גן (מעבר לחוזה).</t>
  </si>
  <si>
    <t>מרכזיית מים ראשית בצמוד למד המים1 צו"ל.</t>
  </si>
  <si>
    <t>חן מס' 6 - עבודות נוספות, תשתיות</t>
  </si>
  <si>
    <t>לידי צורי מפקח, בית מידן, רמות השבים</t>
  </si>
  <si>
    <t>סה"כ כולל מע"מ:</t>
  </si>
  <si>
    <t>נקודות מים במקלחת בריכה (כיור, אסלה ומקלחון).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</si>
</sst>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"/>
  </numFmts>
  <fonts count="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David"/>
      <family val="2"/>
    </font>
    <font>
      <b/>
      <u/>
      <sz val="11"/>
      <color theme="1"/>
      <name val="David"/>
      <family val="2"/>
    </font>
    <font>
      <b/>
      <sz val="11"/>
      <color theme="1"/>
      <name val="David"/>
      <family val="2"/>
    </font>
    <font>
      <sz val="11"/>
      <name val="David"/>
      <family val="2"/>
    </font>
    <font>
      <b/>
      <u/>
      <sz val="14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readingOrder="2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readingOrder="2"/>
    </xf>
    <xf numFmtId="0" fontId="3" fillId="0" borderId="0" xfId="0" applyFont="1"/>
    <xf numFmtId="164" fontId="2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1792557</xdr:colOff>
      <xdr:row>1</xdr:row>
      <xdr:rowOff>133350</xdr:rowOff>
    </xdr:from>
    <xdr:to>
      <xdr:col>3</xdr:col>
      <xdr:colOff>95250</xdr:colOff>
      <xdr:row>6</xdr:row>
      <xdr:rowOff>47625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78D68E1-0E22-4218-8950-2C163EAA2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918"/>
        <a:stretch/>
      </xdr:blipFill>
      <xdr:spPr bwMode="auto">
        <a:xfrm>
          <a:off x="9830800125" y="323850"/>
          <a:ext cx="1569768" cy="866775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F4CA-3791-4B64-A110-A409C98453E9}">
  <dimension ref="A1:H57"/>
  <sheetViews>
    <sheetView rightToLeft="1" tabSelected="1" topLeftCell="A7" workbookViewId="0">
      <selection activeCell="B21" sqref="B21"/>
    </sheetView>
  </sheetViews>
  <sheetFormatPr defaultColWidth="7.875" defaultRowHeight="15" x14ac:dyDescent="0.25"/>
  <cols>
    <col min="1" max="1" width="6" style="1" bestFit="1" customWidth="1"/>
    <col min="2" max="2" width="36.5" style="1" customWidth="1"/>
    <col min="3" max="3" width="6.375" style="1" customWidth="1"/>
    <col min="4" max="4" width="7" style="1" customWidth="1"/>
    <col min="5" max="5" width="10.25" style="1" bestFit="1" customWidth="1"/>
    <col min="6" max="6" width="14.125" style="1" customWidth="1"/>
    <col min="7" max="7" width="10.75" style="1" bestFit="1" customWidth="1"/>
    <col min="8" max="8" width="11.25" style="1" bestFit="1" customWidth="1"/>
    <col min="9" max="16384" width="7.875" style="1"/>
  </cols>
  <sheetData>
    <row r="1" spans="1:8" x14ac:dyDescent="0.25">
      <c r="A1" s="1" t="s">
        <v>0</v>
      </c>
      <c r="F1" s="2">
        <v>46073</v>
      </c>
      <c r="G1" s="3"/>
      <c r="H1" s="3"/>
    </row>
    <row r="2" spans="1:8" x14ac:dyDescent="0.25">
      <c r="F2" s="3"/>
      <c r="G2" s="3"/>
      <c r="H2" s="3"/>
    </row>
    <row r="3" spans="1:8" x14ac:dyDescent="0.25">
      <c r="F3" s="3"/>
      <c r="G3" s="3"/>
      <c r="H3" s="3"/>
    </row>
    <row r="4" spans="1:8" x14ac:dyDescent="0.25">
      <c r="F4" s="3"/>
      <c r="G4" s="3"/>
      <c r="H4" s="3"/>
    </row>
    <row r="5" spans="1:8" x14ac:dyDescent="0.25">
      <c r="F5" s="3"/>
      <c r="G5" s="3"/>
      <c r="H5" s="3"/>
    </row>
    <row r="6" spans="1:8" x14ac:dyDescent="0.25">
      <c r="F6" s="3"/>
      <c r="G6" s="3"/>
      <c r="H6" s="3"/>
    </row>
    <row r="7" spans="1:8" x14ac:dyDescent="0.25">
      <c r="A7" s="36" t="s">
        <v>28</v>
      </c>
      <c r="B7" s="36"/>
      <c r="C7" s="36"/>
      <c r="D7" s="36"/>
      <c r="E7" s="36"/>
      <c r="F7" s="36"/>
    </row>
    <row r="8" spans="1:8" x14ac:dyDescent="0.25">
      <c r="A8" s="36" t="s">
        <v>29</v>
      </c>
      <c r="B8" s="36"/>
      <c r="C8" s="36"/>
      <c r="D8" s="36"/>
      <c r="E8" s="36"/>
      <c r="F8" s="36"/>
    </row>
    <row r="9" spans="1:8" ht="15.75" thickBot="1" x14ac:dyDescent="0.3">
      <c r="C9" s="4"/>
      <c r="D9" s="4"/>
    </row>
    <row r="10" spans="1:8" ht="15.75" thickBot="1" x14ac:dyDescent="0.3">
      <c r="A10" s="5" t="s">
        <v>1</v>
      </c>
      <c r="B10" s="6" t="s">
        <v>2</v>
      </c>
      <c r="C10" s="6" t="s">
        <v>3</v>
      </c>
      <c r="D10" s="6" t="s">
        <v>4</v>
      </c>
      <c r="E10" s="6" t="s">
        <v>5</v>
      </c>
      <c r="F10" s="7" t="s">
        <v>6</v>
      </c>
    </row>
    <row r="11" spans="1:8" x14ac:dyDescent="0.25">
      <c r="A11" s="8">
        <v>1</v>
      </c>
      <c r="B11" s="9" t="s">
        <v>14</v>
      </c>
      <c r="C11" s="10">
        <v>56</v>
      </c>
      <c r="D11" s="11" t="s">
        <v>7</v>
      </c>
      <c r="E11" s="12">
        <v>180</v>
      </c>
      <c r="F11" s="13">
        <f t="shared" ref="F11:F25" si="0">E11*C11</f>
        <v>10080</v>
      </c>
    </row>
    <row r="12" spans="1:8" x14ac:dyDescent="0.25">
      <c r="A12" s="14">
        <v>2</v>
      </c>
      <c r="B12" s="15" t="s">
        <v>15</v>
      </c>
      <c r="C12" s="16">
        <v>90</v>
      </c>
      <c r="D12" s="17" t="s">
        <v>7</v>
      </c>
      <c r="E12" s="18">
        <v>150</v>
      </c>
      <c r="F12" s="19">
        <f t="shared" si="0"/>
        <v>13500</v>
      </c>
    </row>
    <row r="13" spans="1:8" x14ac:dyDescent="0.25">
      <c r="A13" s="14">
        <v>3</v>
      </c>
      <c r="B13" s="15" t="s">
        <v>16</v>
      </c>
      <c r="C13" s="16">
        <v>65</v>
      </c>
      <c r="D13" s="17" t="s">
        <v>7</v>
      </c>
      <c r="E13" s="18">
        <v>110</v>
      </c>
      <c r="F13" s="19">
        <f t="shared" si="0"/>
        <v>7150</v>
      </c>
    </row>
    <row r="14" spans="1:8" ht="30" x14ac:dyDescent="0.25">
      <c r="A14" s="14">
        <v>4</v>
      </c>
      <c r="B14" s="15" t="s">
        <v>17</v>
      </c>
      <c r="C14" s="16">
        <v>268</v>
      </c>
      <c r="D14" s="17" t="s">
        <v>7</v>
      </c>
      <c r="E14" s="18">
        <v>190</v>
      </c>
      <c r="F14" s="19">
        <f t="shared" si="0"/>
        <v>50920</v>
      </c>
    </row>
    <row r="15" spans="1:8" x14ac:dyDescent="0.25">
      <c r="A15" s="14">
        <v>5</v>
      </c>
      <c r="B15" s="15" t="s">
        <v>18</v>
      </c>
      <c r="C15" s="16">
        <v>1</v>
      </c>
      <c r="D15" s="17" t="s">
        <v>4</v>
      </c>
      <c r="E15" s="18">
        <v>650</v>
      </c>
      <c r="F15" s="19">
        <f t="shared" si="0"/>
        <v>650</v>
      </c>
    </row>
    <row r="16" spans="1:8" x14ac:dyDescent="0.25">
      <c r="A16" s="14">
        <v>6</v>
      </c>
      <c r="B16" s="15" t="s">
        <v>19</v>
      </c>
      <c r="C16" s="16">
        <v>1</v>
      </c>
      <c r="D16" s="17" t="s">
        <v>4</v>
      </c>
      <c r="E16" s="18">
        <v>1600</v>
      </c>
      <c r="F16" s="19">
        <f t="shared" si="0"/>
        <v>1600</v>
      </c>
    </row>
    <row r="17" spans="1:6" x14ac:dyDescent="0.25">
      <c r="A17" s="14">
        <v>7</v>
      </c>
      <c r="B17" s="15" t="s">
        <v>20</v>
      </c>
      <c r="C17" s="16">
        <v>1</v>
      </c>
      <c r="D17" s="17" t="s">
        <v>4</v>
      </c>
      <c r="E17" s="18">
        <v>5100</v>
      </c>
      <c r="F17" s="19">
        <f t="shared" si="0"/>
        <v>5100</v>
      </c>
    </row>
    <row r="18" spans="1:6" x14ac:dyDescent="0.25">
      <c r="A18" s="14">
        <v>8</v>
      </c>
      <c r="B18" s="15" t="s">
        <v>21</v>
      </c>
      <c r="C18" s="16">
        <v>1</v>
      </c>
      <c r="D18" s="17" t="s">
        <v>4</v>
      </c>
      <c r="E18" s="18">
        <v>1800</v>
      </c>
      <c r="F18" s="19">
        <f t="shared" si="0"/>
        <v>1800</v>
      </c>
    </row>
    <row r="19" spans="1:6" x14ac:dyDescent="0.25">
      <c r="A19" s="14">
        <v>9</v>
      </c>
      <c r="B19" s="15" t="s">
        <v>22</v>
      </c>
      <c r="C19" s="16">
        <v>1</v>
      </c>
      <c r="D19" s="17" t="s">
        <v>8</v>
      </c>
      <c r="E19" s="18">
        <v>3600</v>
      </c>
      <c r="F19" s="19">
        <f>E19*C19</f>
        <v>3600</v>
      </c>
    </row>
    <row r="20" spans="1:6" ht="30" x14ac:dyDescent="0.25">
      <c r="A20" s="14">
        <v>10</v>
      </c>
      <c r="B20" s="15" t="s">
        <v>31</v>
      </c>
      <c r="C20" s="16">
        <v>3</v>
      </c>
      <c r="D20" s="17" t="s">
        <v>4</v>
      </c>
      <c r="E20" s="18">
        <v>1400</v>
      </c>
      <c r="F20" s="19">
        <f t="shared" si="0"/>
        <v>4200</v>
      </c>
    </row>
    <row r="21" spans="1:6" x14ac:dyDescent="0.25">
      <c r="A21" s="14">
        <v>11</v>
      </c>
      <c r="B21" s="15" t="s">
        <v>23</v>
      </c>
      <c r="C21" s="16">
        <v>1</v>
      </c>
      <c r="D21" s="17" t="s">
        <v>8</v>
      </c>
      <c r="E21" s="18">
        <v>1400</v>
      </c>
      <c r="F21" s="19">
        <f t="shared" si="0"/>
        <v>1400</v>
      </c>
    </row>
    <row r="22" spans="1:6" x14ac:dyDescent="0.25">
      <c r="A22" s="14">
        <v>12</v>
      </c>
      <c r="B22" s="15" t="s">
        <v>24</v>
      </c>
      <c r="C22" s="16">
        <v>1</v>
      </c>
      <c r="D22" s="17" t="s">
        <v>4</v>
      </c>
      <c r="E22" s="18">
        <v>1600</v>
      </c>
      <c r="F22" s="19">
        <f t="shared" si="0"/>
        <v>1600</v>
      </c>
    </row>
    <row r="23" spans="1:6" x14ac:dyDescent="0.25">
      <c r="A23" s="14">
        <v>13</v>
      </c>
      <c r="B23" s="15" t="s">
        <v>25</v>
      </c>
      <c r="C23" s="16">
        <v>1</v>
      </c>
      <c r="D23" s="17" t="s">
        <v>4</v>
      </c>
      <c r="E23" s="18">
        <v>1400</v>
      </c>
      <c r="F23" s="19">
        <f t="shared" si="0"/>
        <v>1400</v>
      </c>
    </row>
    <row r="24" spans="1:6" x14ac:dyDescent="0.25">
      <c r="A24" s="14">
        <v>14</v>
      </c>
      <c r="B24" s="15" t="s">
        <v>26</v>
      </c>
      <c r="C24" s="16">
        <v>7</v>
      </c>
      <c r="D24" s="17" t="s">
        <v>4</v>
      </c>
      <c r="E24" s="18">
        <v>650</v>
      </c>
      <c r="F24" s="19">
        <f t="shared" si="0"/>
        <v>4550</v>
      </c>
    </row>
    <row r="25" spans="1:6" x14ac:dyDescent="0.25">
      <c r="A25" s="14">
        <v>15</v>
      </c>
      <c r="B25" s="15" t="s">
        <v>27</v>
      </c>
      <c r="C25" s="16">
        <v>1</v>
      </c>
      <c r="D25" s="17" t="s">
        <v>4</v>
      </c>
      <c r="E25" s="18">
        <v>1600</v>
      </c>
      <c r="F25" s="19">
        <f t="shared" si="0"/>
        <v>1600</v>
      </c>
    </row>
    <row r="26" spans="1:6" x14ac:dyDescent="0.25">
      <c r="A26" s="20"/>
      <c r="B26" s="21"/>
      <c r="C26" s="20"/>
      <c r="D26" s="22"/>
      <c r="E26" s="23"/>
      <c r="F26" s="24"/>
    </row>
    <row r="27" spans="1:6" x14ac:dyDescent="0.25">
      <c r="A27" s="20"/>
      <c r="B27" s="25"/>
      <c r="C27" s="26"/>
      <c r="D27" s="37" t="s">
        <v>9</v>
      </c>
      <c r="E27" s="37"/>
      <c r="F27" s="29">
        <f>SUM(F11:F25)</f>
        <v>109150</v>
      </c>
    </row>
    <row r="28" spans="1:6" x14ac:dyDescent="0.25">
      <c r="A28" s="20"/>
      <c r="B28" s="25"/>
      <c r="C28" s="26"/>
      <c r="D28" s="34"/>
      <c r="E28" s="34"/>
      <c r="F28" s="29"/>
    </row>
    <row r="29" spans="1:6" ht="18.75" x14ac:dyDescent="0.25">
      <c r="A29" s="20"/>
      <c r="B29" s="25"/>
      <c r="C29" s="26"/>
      <c r="D29" s="38" t="s">
        <v>30</v>
      </c>
      <c r="E29" s="38"/>
      <c r="F29" s="35">
        <f>F27*1.18</f>
        <v>128797</v>
      </c>
    </row>
    <row r="30" spans="1:6" x14ac:dyDescent="0.25">
      <c r="A30" s="20"/>
      <c r="B30" s="25"/>
      <c r="C30" s="26"/>
      <c r="D30" s="27"/>
      <c r="E30" s="28"/>
      <c r="F30" s="29"/>
    </row>
    <row r="31" spans="1:6" x14ac:dyDescent="0.25">
      <c r="A31" s="20"/>
      <c r="B31" s="32"/>
      <c r="C31" s="26"/>
      <c r="D31" s="27"/>
      <c r="E31" s="30"/>
      <c r="F31" s="31"/>
    </row>
    <row r="32" spans="1:6" x14ac:dyDescent="0.25">
      <c r="E32" s="33" t="s">
        <v>11</v>
      </c>
      <c r="F32" s="33"/>
    </row>
    <row r="33" spans="5:7" x14ac:dyDescent="0.25">
      <c r="E33" s="33" t="s">
        <v>12</v>
      </c>
      <c r="F33" s="33"/>
    </row>
    <row r="34" spans="5:7" x14ac:dyDescent="0.25">
      <c r="E34" s="33" t="s">
        <v>13</v>
      </c>
      <c r="F34" s="33"/>
    </row>
    <row r="43" spans="5:7" x14ac:dyDescent="0.25">
      <c r="G43" s="1" t="s">
        <v>10</v>
      </c>
    </row>
    <row r="55" spans="7:8" x14ac:dyDescent="0.25">
      <c r="G55" s="33"/>
    </row>
    <row r="56" spans="7:8" x14ac:dyDescent="0.25">
      <c r="G56" s="33"/>
    </row>
    <row r="57" spans="7:8" x14ac:dyDescent="0.25">
      <c r="G57" s="33" t="s">
        <v>10</v>
      </c>
      <c r="H57" s="33" t="s">
        <v>10</v>
      </c>
    </row>
  </sheetData>
  <mergeCells count="4">
    <mergeCell ref="A7:F7"/>
    <mergeCell ref="A8:F8"/>
    <mergeCell ref="D27:E27"/>
    <mergeCell ref="D29:E2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malka</dc:creator>
  <cp:lastModifiedBy>iris malka</cp:lastModifiedBy>
  <cp:lastPrinted>2026-02-20T14:31:47Z</cp:lastPrinted>
  <dcterms:created xsi:type="dcterms:W3CDTF">2026-02-20T11:40:03Z</dcterms:created>
  <dcterms:modified xsi:type="dcterms:W3CDTF">2026-02-20T14:34:10Z</dcterms:modified>
</cp:coreProperties>
</file>